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\source\repos\Revit26_Plugin\Menu\LOGO PROMPT FOLDER\"/>
    </mc:Choice>
  </mc:AlternateContent>
  <xr:revisionPtr revIDLastSave="0" documentId="8_{505366A7-AB7C-40E9-9163-00AD61BEAA7D}" xr6:coauthVersionLast="47" xr6:coauthVersionMax="47" xr10:uidLastSave="{00000000-0000-0000-0000-000000000000}"/>
  <bookViews>
    <workbookView xWindow="-120" yWindow="-120" windowWidth="29040" windowHeight="15720" xr2:uid="{30BC9263-D911-4A1E-8AB8-11D41422B3E6}"/>
  </bookViews>
  <sheets>
    <sheet name="Version Comparis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C7" i="2"/>
  <c r="B7" i="2"/>
  <c r="C6" i="2"/>
  <c r="B6" i="2"/>
  <c r="C5" i="2"/>
  <c r="B5" i="2"/>
</calcChain>
</file>

<file path=xl/sharedStrings.xml><?xml version="1.0" encoding="utf-8"?>
<sst xmlns="http://schemas.openxmlformats.org/spreadsheetml/2006/main" count="219" uniqueCount="109">
  <si>
    <t>Same-Tool, Multiple-Version Audit - Ribbon Cleanup Follow-up</t>
  </si>
  <si>
    <t>Every surviving ribbon PushButton family with 2+ kept versions, diffed file-by-file. 'Max diff (lines)' is the largest per-file diff line-count found for that pair, a rough proxy for how much actually changed, not counting import/using-statement noise that a namespace rename always produces.</t>
  </si>
  <si>
    <t>Tool Family</t>
  </si>
  <si>
    <t>Ribbon Location</t>
  </si>
  <si>
    <t>Older Version</t>
  </si>
  <si>
    <t>Newer Version</t>
  </si>
  <si>
    <t>Files Compared</t>
  </si>
  <si>
    <t>Max Diff (lines)</t>
  </si>
  <si>
    <t>Verdict</t>
  </si>
  <si>
    <t>What Actually Changed</t>
  </si>
  <si>
    <t>Recommended Keep</t>
  </si>
  <si>
    <t>Both Currently Live Buttons?</t>
  </si>
  <si>
    <t>AutoSlopeByDrain</t>
  </si>
  <si>
    <t>RoofTools -&gt; Auto SLope</t>
  </si>
  <si>
    <t>V006</t>
  </si>
  <si>
    <t>V007</t>
  </si>
  <si>
    <t>Near-Identical</t>
  </si>
  <si>
    <t>Only real change: ViewModel switched from referencing a private backing field (state) to the generated MVVM property (State) - cosmetic, fixes a compiler warning. Every other file is namespace-only.</t>
  </si>
  <si>
    <t>Yes</t>
  </si>
  <si>
    <t>RoofRidgeLines (By Point)</t>
  </si>
  <si>
    <t>RoofTools -&gt; Line &amp; PointMenu</t>
  </si>
  <si>
    <t>V56</t>
  </si>
  <si>
    <t>V57</t>
  </si>
  <si>
    <t>Real Differences</t>
  </si>
  <si>
    <t>V57 adds AddDetailLines/AddShapePoints toggles, skipped-point tracking (TotalSkippedPoints, DetailLinesAddedCount) and related logging.</t>
  </si>
  <si>
    <t>RoofRidgeLines (By Shape)</t>
  </si>
  <si>
    <t>V60</t>
  </si>
  <si>
    <t>V62</t>
  </si>
  <si>
    <t>Major rewrite: RidgeCreationService (+642 lines), RoofRidgeViewModel (+1178 lines), InnerLoopIntersectionService (+189 lines).</t>
  </si>
  <si>
    <t>V67</t>
  </si>
  <si>
    <t>Further rewrite: RidgeCreationService (+151), RoofRidgeViewModel (+194), InnerLoopService (+132); folder layout flattened (Commands/Services subfolders removed).</t>
  </si>
  <si>
    <t>V68</t>
  </si>
  <si>
    <t>Identical</t>
  </si>
  <si>
    <t>Every file (20/20) differs only in namespace string (V67 -&gt; V068). No logic, no new members.</t>
  </si>
  <si>
    <t>CreaserAdv / AutoCreaser</t>
  </si>
  <si>
    <t>RoofTools -&gt; SlopeLiner</t>
  </si>
  <si>
    <t>V002_01</t>
  </si>
  <si>
    <t>V003_01</t>
  </si>
  <si>
    <t>n/a</t>
  </si>
  <si>
    <t>Near-Identical (rebrand)</t>
  </si>
  <si>
    <t>12 shared service files are namespace-only identical. Entry point renamed CreaserAdv* -&gt; AutoCreaser* so Command/ViewModel/Window can't be diffed 1:1 - no evidence of logic change in the parts that do match.</t>
  </si>
  <si>
    <t>V004_00</t>
  </si>
  <si>
    <t>Substantial rewrite: RoofSharedTopFaceCreaseService (+363), FinalCreaseFilterService (+185), LoggingService (+112), DetailItemPlacementService (+98). Several files renamed.</t>
  </si>
  <si>
    <t>CreaserAdv</t>
  </si>
  <si>
    <t>V005_00</t>
  </si>
  <si>
    <t>ViewModel (+36), DetailItemPlacementService (+21), DrainPointGroupingService/HorizontalCreaseFilterService (+12 each); FinalCreaseFilterService.cs removed entirely.</t>
  </si>
  <si>
    <t>V006_00</t>
  </si>
  <si>
    <t>ViewModel rewritten (+108 lines), MinimumLengthFilterService reworked (+61). Remaining 10 files namespace-only.</t>
  </si>
  <si>
    <t>V007_00</t>
  </si>
  <si>
    <t>New/expanded DijkstraPathValidityService (+71 lines - path-validity algorithm), ViewModel (+36). Remaining files namespace-only.</t>
  </si>
  <si>
    <t>V008_00</t>
  </si>
  <si>
    <t>Adds RidgePoints and DisconnectedPoints result-tracking fields/params across the RunSummary + pipeline - genuine new feature.</t>
  </si>
  <si>
    <t>V009</t>
  </si>
  <si>
    <t>All 14 files differ only in namespace string (V008_00 -&gt; V009). No logic, no new members.</t>
  </si>
  <si>
    <t>RoofTagCommand</t>
  </si>
  <si>
    <t>RoofTools -&gt; Tag</t>
  </si>
  <si>
    <t>V008</t>
  </si>
  <si>
    <t>V014</t>
  </si>
  <si>
    <t>RoofTagCommand_FaceRef (+137), RoofTagViewModel (+112), RoofTaggingService_FaceRef (+50), SelectionHelper (+49); adds RoofTagClusterHelper.cs and RoofTagInteriorLoopHelper.cs (new files).</t>
  </si>
  <si>
    <t>V015</t>
  </si>
  <si>
    <t>RoofTagCommand_FaceRef (+64), RoofTagViewModel (+57), RoofTaggingService_FaceRef (+16); adds RoofTagLoopReductionHelper.cs (new file, loop-reduction handling).</t>
  </si>
  <si>
    <t>V016</t>
  </si>
  <si>
    <t>Real Differences (minor)</t>
  </si>
  <si>
    <t>Only real change: default bend/end-offset constants tuned (500-&gt;1000, 750-&gt;2000). Every other file namespace-only.</t>
  </si>
  <si>
    <t>WorksetManager</t>
  </si>
  <si>
    <t>Setup -&gt; Setup Tools</t>
  </si>
  <si>
    <t>V010</t>
  </si>
  <si>
    <t>V011</t>
  </si>
  <si>
    <t>WorksetSelectorWindow renamed to WorksetManagerWindow, but content diff is only 8 lines (namespace-only). Remaining files 4-10 line (namespace-only) diffs.</t>
  </si>
  <si>
    <t>V012_New</t>
  </si>
  <si>
    <t>Reorganized into layered Commands/Core/UI folders; WorksetsViewModel (+31), WorksetManagerCommand (+19), WorksetService (+13), WorksetItem (+11) - genuine refactor (matches the 'Refactored' tag in the ribbon comment).</t>
  </si>
  <si>
    <t>DwgSymbolicConverter</t>
  </si>
  <si>
    <t>Setup -&gt; Batch Link</t>
  </si>
  <si>
    <t>V01</t>
  </si>
  <si>
    <t>V03</t>
  </si>
  <si>
    <t>LaunchCommand alone has 35 diff lines; V03 adds 4 more files than V01 (20 vs 16 total) - genuine feature growth.</t>
  </si>
  <si>
    <t>DwgSymbolicConverter / DwgToLines</t>
  </si>
  <si>
    <t>V04</t>
  </si>
  <si>
    <t>ViewModel renamed DwgSymbolicConverterViewModel -&gt; DwgToLinesViewModel but content diff is only 10 lines. Every other file 4-14 line (namespace-only) diffs.</t>
  </si>
  <si>
    <t>DwgToDetailLines (Project)</t>
  </si>
  <si>
    <t>V001</t>
  </si>
  <si>
    <t>V010 has 7 more files than V001 (23 vs 18): fill-pattern handling (DetailFillRegionStyleService, FillPatternResolutionService, MissingFillPatternDecision), layer support (LayerRow, CadEntityType), auto-delete-failures preprocessor - genuine feature growth.</t>
  </si>
  <si>
    <t>SheetAutoRearrange</t>
  </si>
  <si>
    <t>Sheet -&gt; Place</t>
  </si>
  <si>
    <t>V022</t>
  </si>
  <si>
    <t>V023</t>
  </si>
  <si>
    <t>All 24 files differ only in namespace string (V022 -&gt; V023). No logic, no new members.</t>
  </si>
  <si>
    <t>SectionViewAutoTagger</t>
  </si>
  <si>
    <t>ViewTools -&gt; Place</t>
  </si>
  <si>
    <t>V003</t>
  </si>
  <si>
    <t>V004</t>
  </si>
  <si>
    <t>All 25 files differ only in namespace string (V003 -&gt; V004). No logic, no new members.</t>
  </si>
  <si>
    <t>APUS (AutoPlaceSectionsCommand)</t>
  </si>
  <si>
    <t>V321_01</t>
  </si>
  <si>
    <t>V322</t>
  </si>
  <si>
    <t>Command file differs only in namespace string (APUS_V321_01 -&gt; APUS.V322). No logic, no new members.</t>
  </si>
  <si>
    <t>DtlLineDim</t>
  </si>
  <si>
    <t>Dimensions -&gt; Dimensions</t>
  </si>
  <si>
    <t>ViewModel adds default-fallback logic for the Detail Item Type / Dimension Type combo boxes (never opens unselected) plus extra logging. Genuine small bugfix/UX improvement.</t>
  </si>
  <si>
    <t>Summary</t>
  </si>
  <si>
    <t>Verdict counts across all 24 version pairs checked (see 'Version Comparison' tab).</t>
  </si>
  <si>
    <t>Count</t>
  </si>
  <si>
    <t>% of Pairs</t>
  </si>
  <si>
    <t>Near-Identical*</t>
  </si>
  <si>
    <t>Real Differences*</t>
  </si>
  <si>
    <t>Total pairs checked</t>
  </si>
  <si>
    <t>* Near-Identical = only a rename/cosmetic diff found; Real Differences = at least one file has a substantive logic change.</t>
  </si>
  <si>
    <t>Key takeaway</t>
  </si>
  <si>
    <t>In every pair checked, the higher version number is equal-or-better than the lower one - no case found where an older version had functionality the newer one lacked. Where the pair is Identical or Near-Identical, dropping the older button loses nothing; where Real Differences exist, the newer version is a superset/improvement, so it is still the one to keep.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</si>
</sst>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2F5597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9C6500"/>
      <name val="Arial"/>
      <family val="2"/>
    </font>
    <font>
      <b/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006100"/>
      <name val="Arial"/>
      <family val="2"/>
    </font>
    <font>
      <b/>
      <sz val="11"/>
      <color rgb="FF9C6500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7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8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5" borderId="0" xfId="0" applyFont="1" applyFill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3" fillId="3" borderId="0" xfId="0" applyFont="1" applyFill="1"/>
    <xf numFmtId="0" fontId="14" fillId="4" borderId="0" xfId="0" applyFont="1" applyFill="1"/>
    <xf numFmtId="0" fontId="10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951C-6338-4025-823C-1DA36FBB0542}">
  <dimension ref="A1:J28"/>
  <sheetViews>
    <sheetView tabSelected="1"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26.7109375" customWidth="1"/>
    <col min="2" max="2" width="22.7109375" customWidth="1"/>
    <col min="3" max="3" width="11.7109375" customWidth="1"/>
    <col min="4" max="4" width="12.7109375" customWidth="1"/>
    <col min="5" max="5" width="9.7109375" customWidth="1"/>
    <col min="6" max="6" width="11.7109375" customWidth="1"/>
    <col min="7" max="7" width="20.7109375" customWidth="1"/>
    <col min="8" max="8" width="62.7109375" customWidth="1"/>
    <col min="9" max="10" width="13.7109375" customWidth="1"/>
  </cols>
  <sheetData>
    <row r="1" spans="1:10" ht="21.95" customHeight="1" x14ac:dyDescent="0.25">
      <c r="A1" s="1" t="s">
        <v>0</v>
      </c>
    </row>
    <row r="2" spans="1:10" ht="30" customHeight="1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</row>
    <row r="4" spans="1:10" ht="5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44.1" customHeight="1" x14ac:dyDescent="0.25">
      <c r="A5" s="6" t="s">
        <v>12</v>
      </c>
      <c r="B5" s="6" t="s">
        <v>13</v>
      </c>
      <c r="C5" s="5" t="s">
        <v>14</v>
      </c>
      <c r="D5" s="5" t="s">
        <v>15</v>
      </c>
      <c r="E5" s="7">
        <v>25</v>
      </c>
      <c r="F5" s="7">
        <v>29</v>
      </c>
      <c r="G5" s="8" t="s">
        <v>16</v>
      </c>
      <c r="H5" s="6" t="s">
        <v>17</v>
      </c>
      <c r="I5" s="9" t="s">
        <v>15</v>
      </c>
      <c r="J5" s="5" t="s">
        <v>18</v>
      </c>
    </row>
    <row r="6" spans="1:10" ht="44.1" customHeight="1" x14ac:dyDescent="0.25">
      <c r="A6" s="6" t="s">
        <v>19</v>
      </c>
      <c r="B6" s="6" t="s">
        <v>20</v>
      </c>
      <c r="C6" s="5" t="s">
        <v>21</v>
      </c>
      <c r="D6" s="5" t="s">
        <v>22</v>
      </c>
      <c r="E6" s="7">
        <v>18</v>
      </c>
      <c r="F6" s="7">
        <v>61</v>
      </c>
      <c r="G6" s="10" t="s">
        <v>23</v>
      </c>
      <c r="H6" s="6" t="s">
        <v>24</v>
      </c>
      <c r="I6" s="9" t="s">
        <v>22</v>
      </c>
      <c r="J6" s="5" t="s">
        <v>18</v>
      </c>
    </row>
    <row r="7" spans="1:10" ht="44.1" customHeight="1" x14ac:dyDescent="0.25">
      <c r="A7" s="6" t="s">
        <v>25</v>
      </c>
      <c r="B7" s="6" t="s">
        <v>20</v>
      </c>
      <c r="C7" s="5" t="s">
        <v>26</v>
      </c>
      <c r="D7" s="5" t="s">
        <v>27</v>
      </c>
      <c r="E7" s="7">
        <v>20</v>
      </c>
      <c r="F7" s="7">
        <v>1178</v>
      </c>
      <c r="G7" s="10" t="s">
        <v>23</v>
      </c>
      <c r="H7" s="6" t="s">
        <v>28</v>
      </c>
      <c r="I7" s="9" t="s">
        <v>27</v>
      </c>
      <c r="J7" s="5" t="s">
        <v>18</v>
      </c>
    </row>
    <row r="8" spans="1:10" ht="44.1" customHeight="1" x14ac:dyDescent="0.25">
      <c r="A8" s="6" t="s">
        <v>25</v>
      </c>
      <c r="B8" s="6" t="s">
        <v>20</v>
      </c>
      <c r="C8" s="5" t="s">
        <v>27</v>
      </c>
      <c r="D8" s="5" t="s">
        <v>29</v>
      </c>
      <c r="E8" s="7">
        <v>20</v>
      </c>
      <c r="F8" s="7">
        <v>194</v>
      </c>
      <c r="G8" s="10" t="s">
        <v>23</v>
      </c>
      <c r="H8" s="6" t="s">
        <v>30</v>
      </c>
      <c r="I8" s="9" t="s">
        <v>29</v>
      </c>
      <c r="J8" s="5" t="s">
        <v>18</v>
      </c>
    </row>
    <row r="9" spans="1:10" ht="44.1" customHeight="1" x14ac:dyDescent="0.25">
      <c r="A9" s="6" t="s">
        <v>25</v>
      </c>
      <c r="B9" s="6" t="s">
        <v>20</v>
      </c>
      <c r="C9" s="5" t="s">
        <v>29</v>
      </c>
      <c r="D9" s="5" t="s">
        <v>31</v>
      </c>
      <c r="E9" s="7">
        <v>20</v>
      </c>
      <c r="F9" s="7">
        <v>10</v>
      </c>
      <c r="G9" s="11" t="s">
        <v>32</v>
      </c>
      <c r="H9" s="6" t="s">
        <v>33</v>
      </c>
      <c r="I9" s="9" t="s">
        <v>31</v>
      </c>
      <c r="J9" s="5" t="s">
        <v>18</v>
      </c>
    </row>
    <row r="10" spans="1:10" ht="44.1" customHeight="1" x14ac:dyDescent="0.25">
      <c r="A10" s="6" t="s">
        <v>34</v>
      </c>
      <c r="B10" s="6" t="s">
        <v>35</v>
      </c>
      <c r="C10" s="5" t="s">
        <v>36</v>
      </c>
      <c r="D10" s="5" t="s">
        <v>37</v>
      </c>
      <c r="E10" s="7">
        <v>19</v>
      </c>
      <c r="F10" s="7" t="s">
        <v>38</v>
      </c>
      <c r="G10" s="8" t="s">
        <v>39</v>
      </c>
      <c r="H10" s="6" t="s">
        <v>40</v>
      </c>
      <c r="I10" s="9" t="s">
        <v>37</v>
      </c>
      <c r="J10" s="5" t="s">
        <v>18</v>
      </c>
    </row>
    <row r="11" spans="1:10" ht="44.1" customHeight="1" x14ac:dyDescent="0.25">
      <c r="A11" s="6" t="s">
        <v>34</v>
      </c>
      <c r="B11" s="6" t="s">
        <v>35</v>
      </c>
      <c r="C11" s="5" t="s">
        <v>37</v>
      </c>
      <c r="D11" s="5" t="s">
        <v>41</v>
      </c>
      <c r="E11" s="7">
        <v>13</v>
      </c>
      <c r="F11" s="7">
        <v>363</v>
      </c>
      <c r="G11" s="10" t="s">
        <v>23</v>
      </c>
      <c r="H11" s="6" t="s">
        <v>42</v>
      </c>
      <c r="I11" s="9" t="s">
        <v>41</v>
      </c>
      <c r="J11" s="5" t="s">
        <v>18</v>
      </c>
    </row>
    <row r="12" spans="1:10" ht="44.1" customHeight="1" x14ac:dyDescent="0.25">
      <c r="A12" s="6" t="s">
        <v>43</v>
      </c>
      <c r="B12" s="6" t="s">
        <v>35</v>
      </c>
      <c r="C12" s="5" t="s">
        <v>41</v>
      </c>
      <c r="D12" s="5" t="s">
        <v>44</v>
      </c>
      <c r="E12" s="7">
        <v>13</v>
      </c>
      <c r="F12" s="7">
        <v>36</v>
      </c>
      <c r="G12" s="10" t="s">
        <v>23</v>
      </c>
      <c r="H12" s="6" t="s">
        <v>45</v>
      </c>
      <c r="I12" s="9" t="s">
        <v>44</v>
      </c>
      <c r="J12" s="5" t="s">
        <v>18</v>
      </c>
    </row>
    <row r="13" spans="1:10" ht="44.1" customHeight="1" x14ac:dyDescent="0.25">
      <c r="A13" s="6" t="s">
        <v>43</v>
      </c>
      <c r="B13" s="6" t="s">
        <v>35</v>
      </c>
      <c r="C13" s="5" t="s">
        <v>44</v>
      </c>
      <c r="D13" s="5" t="s">
        <v>46</v>
      </c>
      <c r="E13" s="7">
        <v>12</v>
      </c>
      <c r="F13" s="7">
        <v>108</v>
      </c>
      <c r="G13" s="10" t="s">
        <v>23</v>
      </c>
      <c r="H13" s="6" t="s">
        <v>47</v>
      </c>
      <c r="I13" s="9" t="s">
        <v>46</v>
      </c>
      <c r="J13" s="5" t="s">
        <v>18</v>
      </c>
    </row>
    <row r="14" spans="1:10" ht="44.1" customHeight="1" x14ac:dyDescent="0.25">
      <c r="A14" s="6" t="s">
        <v>43</v>
      </c>
      <c r="B14" s="6" t="s">
        <v>35</v>
      </c>
      <c r="C14" s="5" t="s">
        <v>46</v>
      </c>
      <c r="D14" s="5" t="s">
        <v>48</v>
      </c>
      <c r="E14" s="7">
        <v>12</v>
      </c>
      <c r="F14" s="7">
        <v>71</v>
      </c>
      <c r="G14" s="10" t="s">
        <v>23</v>
      </c>
      <c r="H14" s="6" t="s">
        <v>49</v>
      </c>
      <c r="I14" s="9" t="s">
        <v>48</v>
      </c>
      <c r="J14" s="5" t="s">
        <v>18</v>
      </c>
    </row>
    <row r="15" spans="1:10" ht="44.1" customHeight="1" x14ac:dyDescent="0.25">
      <c r="A15" s="6" t="s">
        <v>43</v>
      </c>
      <c r="B15" s="6" t="s">
        <v>35</v>
      </c>
      <c r="C15" s="5" t="s">
        <v>48</v>
      </c>
      <c r="D15" s="5" t="s">
        <v>50</v>
      </c>
      <c r="E15" s="7">
        <v>14</v>
      </c>
      <c r="F15" s="7" t="s">
        <v>38</v>
      </c>
      <c r="G15" s="10" t="s">
        <v>23</v>
      </c>
      <c r="H15" s="6" t="s">
        <v>51</v>
      </c>
      <c r="I15" s="9" t="s">
        <v>50</v>
      </c>
      <c r="J15" s="5" t="s">
        <v>18</v>
      </c>
    </row>
    <row r="16" spans="1:10" ht="44.1" customHeight="1" x14ac:dyDescent="0.25">
      <c r="A16" s="6" t="s">
        <v>43</v>
      </c>
      <c r="B16" s="6" t="s">
        <v>35</v>
      </c>
      <c r="C16" s="5" t="s">
        <v>50</v>
      </c>
      <c r="D16" s="5" t="s">
        <v>52</v>
      </c>
      <c r="E16" s="7">
        <v>14</v>
      </c>
      <c r="F16" s="7">
        <v>12</v>
      </c>
      <c r="G16" s="11" t="s">
        <v>32</v>
      </c>
      <c r="H16" s="6" t="s">
        <v>53</v>
      </c>
      <c r="I16" s="9" t="s">
        <v>52</v>
      </c>
      <c r="J16" s="5" t="s">
        <v>18</v>
      </c>
    </row>
    <row r="17" spans="1:10" ht="44.1" customHeight="1" x14ac:dyDescent="0.25">
      <c r="A17" s="6" t="s">
        <v>54</v>
      </c>
      <c r="B17" s="6" t="s">
        <v>55</v>
      </c>
      <c r="C17" s="5" t="s">
        <v>56</v>
      </c>
      <c r="D17" s="5" t="s">
        <v>57</v>
      </c>
      <c r="E17" s="7">
        <v>9</v>
      </c>
      <c r="F17" s="7">
        <v>137</v>
      </c>
      <c r="G17" s="10" t="s">
        <v>23</v>
      </c>
      <c r="H17" s="6" t="s">
        <v>58</v>
      </c>
      <c r="I17" s="9" t="s">
        <v>57</v>
      </c>
      <c r="J17" s="5" t="s">
        <v>18</v>
      </c>
    </row>
    <row r="18" spans="1:10" ht="44.1" customHeight="1" x14ac:dyDescent="0.25">
      <c r="A18" s="6" t="s">
        <v>54</v>
      </c>
      <c r="B18" s="6" t="s">
        <v>55</v>
      </c>
      <c r="C18" s="5" t="s">
        <v>57</v>
      </c>
      <c r="D18" s="5" t="s">
        <v>59</v>
      </c>
      <c r="E18" s="7">
        <v>11</v>
      </c>
      <c r="F18" s="7">
        <v>64</v>
      </c>
      <c r="G18" s="10" t="s">
        <v>23</v>
      </c>
      <c r="H18" s="6" t="s">
        <v>60</v>
      </c>
      <c r="I18" s="9" t="s">
        <v>59</v>
      </c>
      <c r="J18" s="5" t="s">
        <v>18</v>
      </c>
    </row>
    <row r="19" spans="1:10" ht="44.1" customHeight="1" x14ac:dyDescent="0.25">
      <c r="A19" s="6" t="s">
        <v>54</v>
      </c>
      <c r="B19" s="6" t="s">
        <v>55</v>
      </c>
      <c r="C19" s="5" t="s">
        <v>59</v>
      </c>
      <c r="D19" s="5" t="s">
        <v>61</v>
      </c>
      <c r="E19" s="7">
        <v>11</v>
      </c>
      <c r="F19" s="7">
        <v>4</v>
      </c>
      <c r="G19" s="10" t="s">
        <v>62</v>
      </c>
      <c r="H19" s="6" t="s">
        <v>63</v>
      </c>
      <c r="I19" s="9" t="s">
        <v>61</v>
      </c>
      <c r="J19" s="5" t="s">
        <v>18</v>
      </c>
    </row>
    <row r="20" spans="1:10" ht="44.1" customHeight="1" x14ac:dyDescent="0.25">
      <c r="A20" s="6" t="s">
        <v>64</v>
      </c>
      <c r="B20" s="6" t="s">
        <v>65</v>
      </c>
      <c r="C20" s="5" t="s">
        <v>66</v>
      </c>
      <c r="D20" s="5" t="s">
        <v>67</v>
      </c>
      <c r="E20" s="7">
        <v>6</v>
      </c>
      <c r="F20" s="7">
        <v>10</v>
      </c>
      <c r="G20" s="8" t="s">
        <v>16</v>
      </c>
      <c r="H20" s="6" t="s">
        <v>68</v>
      </c>
      <c r="I20" s="9" t="s">
        <v>67</v>
      </c>
      <c r="J20" s="5" t="s">
        <v>18</v>
      </c>
    </row>
    <row r="21" spans="1:10" ht="44.1" customHeight="1" x14ac:dyDescent="0.25">
      <c r="A21" s="6" t="s">
        <v>64</v>
      </c>
      <c r="B21" s="6" t="s">
        <v>65</v>
      </c>
      <c r="C21" s="5" t="s">
        <v>67</v>
      </c>
      <c r="D21" s="5" t="s">
        <v>69</v>
      </c>
      <c r="E21" s="7">
        <v>5</v>
      </c>
      <c r="F21" s="7">
        <v>31</v>
      </c>
      <c r="G21" s="10" t="s">
        <v>23</v>
      </c>
      <c r="H21" s="6" t="s">
        <v>70</v>
      </c>
      <c r="I21" s="9" t="s">
        <v>69</v>
      </c>
      <c r="J21" s="5" t="s">
        <v>18</v>
      </c>
    </row>
    <row r="22" spans="1:10" ht="44.1" customHeight="1" x14ac:dyDescent="0.25">
      <c r="A22" s="6" t="s">
        <v>71</v>
      </c>
      <c r="B22" s="6" t="s">
        <v>72</v>
      </c>
      <c r="C22" s="5" t="s">
        <v>73</v>
      </c>
      <c r="D22" s="5" t="s">
        <v>74</v>
      </c>
      <c r="E22" s="7">
        <v>16</v>
      </c>
      <c r="F22" s="7">
        <v>35</v>
      </c>
      <c r="G22" s="10" t="s">
        <v>23</v>
      </c>
      <c r="H22" s="6" t="s">
        <v>75</v>
      </c>
      <c r="I22" s="9" t="s">
        <v>74</v>
      </c>
      <c r="J22" s="5" t="s">
        <v>18</v>
      </c>
    </row>
    <row r="23" spans="1:10" ht="44.1" customHeight="1" x14ac:dyDescent="0.25">
      <c r="A23" s="6" t="s">
        <v>76</v>
      </c>
      <c r="B23" s="6" t="s">
        <v>72</v>
      </c>
      <c r="C23" s="5" t="s">
        <v>74</v>
      </c>
      <c r="D23" s="5" t="s">
        <v>77</v>
      </c>
      <c r="E23" s="7">
        <v>19</v>
      </c>
      <c r="F23" s="7">
        <v>14</v>
      </c>
      <c r="G23" s="8" t="s">
        <v>39</v>
      </c>
      <c r="H23" s="6" t="s">
        <v>78</v>
      </c>
      <c r="I23" s="9" t="s">
        <v>77</v>
      </c>
      <c r="J23" s="5" t="s">
        <v>18</v>
      </c>
    </row>
    <row r="24" spans="1:10" ht="44.1" customHeight="1" x14ac:dyDescent="0.25">
      <c r="A24" s="6" t="s">
        <v>79</v>
      </c>
      <c r="B24" s="6" t="s">
        <v>72</v>
      </c>
      <c r="C24" s="5" t="s">
        <v>80</v>
      </c>
      <c r="D24" s="5" t="s">
        <v>66</v>
      </c>
      <c r="E24" s="7">
        <v>18</v>
      </c>
      <c r="F24" s="7" t="s">
        <v>38</v>
      </c>
      <c r="G24" s="10" t="s">
        <v>23</v>
      </c>
      <c r="H24" s="6" t="s">
        <v>81</v>
      </c>
      <c r="I24" s="9" t="s">
        <v>66</v>
      </c>
      <c r="J24" s="5" t="s">
        <v>18</v>
      </c>
    </row>
    <row r="25" spans="1:10" ht="44.1" customHeight="1" x14ac:dyDescent="0.25">
      <c r="A25" s="6" t="s">
        <v>82</v>
      </c>
      <c r="B25" s="6" t="s">
        <v>83</v>
      </c>
      <c r="C25" s="5" t="s">
        <v>84</v>
      </c>
      <c r="D25" s="5" t="s">
        <v>85</v>
      </c>
      <c r="E25" s="7">
        <v>24</v>
      </c>
      <c r="F25" s="7">
        <v>10</v>
      </c>
      <c r="G25" s="11" t="s">
        <v>32</v>
      </c>
      <c r="H25" s="6" t="s">
        <v>86</v>
      </c>
      <c r="I25" s="9" t="s">
        <v>85</v>
      </c>
      <c r="J25" s="5" t="s">
        <v>18</v>
      </c>
    </row>
    <row r="26" spans="1:10" ht="44.1" customHeight="1" x14ac:dyDescent="0.25">
      <c r="A26" s="6" t="s">
        <v>87</v>
      </c>
      <c r="B26" s="6" t="s">
        <v>88</v>
      </c>
      <c r="C26" s="5" t="s">
        <v>89</v>
      </c>
      <c r="D26" s="5" t="s">
        <v>90</v>
      </c>
      <c r="E26" s="7">
        <v>25</v>
      </c>
      <c r="F26" s="7">
        <v>10</v>
      </c>
      <c r="G26" s="11" t="s">
        <v>32</v>
      </c>
      <c r="H26" s="6" t="s">
        <v>91</v>
      </c>
      <c r="I26" s="9" t="s">
        <v>90</v>
      </c>
      <c r="J26" s="5" t="s">
        <v>18</v>
      </c>
    </row>
    <row r="27" spans="1:10" ht="44.1" customHeight="1" x14ac:dyDescent="0.25">
      <c r="A27" s="6" t="s">
        <v>92</v>
      </c>
      <c r="B27" s="6" t="s">
        <v>88</v>
      </c>
      <c r="C27" s="5" t="s">
        <v>93</v>
      </c>
      <c r="D27" s="5" t="s">
        <v>94</v>
      </c>
      <c r="E27" s="7">
        <v>1</v>
      </c>
      <c r="F27" s="7">
        <v>8</v>
      </c>
      <c r="G27" s="11" t="s">
        <v>32</v>
      </c>
      <c r="H27" s="6" t="s">
        <v>95</v>
      </c>
      <c r="I27" s="9" t="s">
        <v>94</v>
      </c>
      <c r="J27" s="5" t="s">
        <v>18</v>
      </c>
    </row>
    <row r="28" spans="1:10" ht="44.1" customHeight="1" x14ac:dyDescent="0.25">
      <c r="A28" s="6" t="s">
        <v>96</v>
      </c>
      <c r="B28" s="6" t="s">
        <v>97</v>
      </c>
      <c r="C28" s="5" t="s">
        <v>15</v>
      </c>
      <c r="D28" s="5" t="s">
        <v>56</v>
      </c>
      <c r="E28" s="7">
        <v>10</v>
      </c>
      <c r="F28" s="7">
        <v>40</v>
      </c>
      <c r="G28" s="10" t="s">
        <v>62</v>
      </c>
      <c r="H28" s="6" t="s">
        <v>98</v>
      </c>
      <c r="I28" s="9" t="s">
        <v>56</v>
      </c>
      <c r="J28" s="5" t="s">
        <v>18</v>
      </c>
    </row>
  </sheetData>
  <mergeCells count="1">
    <mergeCell ref="A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C81B-48F7-47D8-9BAB-4274D332432E}">
  <dimension ref="A1:J13"/>
  <sheetViews>
    <sheetView workbookViewId="0"/>
  </sheetViews>
  <sheetFormatPr defaultRowHeight="15" x14ac:dyDescent="0.25"/>
  <cols>
    <col min="1" max="1" width="22.7109375" customWidth="1"/>
    <col min="2" max="2" width="10.7109375" customWidth="1"/>
    <col min="3" max="3" width="12.7109375" customWidth="1"/>
  </cols>
  <sheetData>
    <row r="1" spans="1:10" ht="18" x14ac:dyDescent="0.25">
      <c r="A1" s="1" t="s">
        <v>99</v>
      </c>
    </row>
    <row r="2" spans="1:10" x14ac:dyDescent="0.25">
      <c r="A2" s="2" t="s">
        <v>100</v>
      </c>
      <c r="B2" s="3"/>
      <c r="C2" s="3"/>
      <c r="D2" s="3"/>
    </row>
    <row r="4" spans="1:10" x14ac:dyDescent="0.25">
      <c r="A4" s="13" t="s">
        <v>8</v>
      </c>
      <c r="B4" s="13" t="s">
        <v>101</v>
      </c>
      <c r="C4" s="13" t="s">
        <v>102</v>
      </c>
    </row>
    <row r="5" spans="1:10" x14ac:dyDescent="0.25">
      <c r="A5" s="14" t="s">
        <v>32</v>
      </c>
      <c r="B5" s="15">
        <f>COUNTIF('Version Comparison'!$G$5:$G$28,"Identical*")</f>
        <v>5</v>
      </c>
      <c r="C5" s="16">
        <f>B5/24</f>
        <v>0.20833333333333334</v>
      </c>
    </row>
    <row r="6" spans="1:10" x14ac:dyDescent="0.25">
      <c r="A6" s="17" t="s">
        <v>103</v>
      </c>
      <c r="B6" s="15">
        <f>COUNTIF('Version Comparison'!$G$5:$G$28,"Near-Identical*")</f>
        <v>4</v>
      </c>
      <c r="C6" s="16">
        <f>B6/24</f>
        <v>0.16666666666666666</v>
      </c>
    </row>
    <row r="7" spans="1:10" x14ac:dyDescent="0.25">
      <c r="A7" s="18" t="s">
        <v>104</v>
      </c>
      <c r="B7" s="15">
        <f>COUNTIF('Version Comparison'!$G$5:$G$28,"Real Differences*")</f>
        <v>15</v>
      </c>
      <c r="C7" s="16">
        <f>B7/24</f>
        <v>0.625</v>
      </c>
    </row>
    <row r="8" spans="1:10" x14ac:dyDescent="0.25">
      <c r="A8" s="12" t="s">
        <v>105</v>
      </c>
      <c r="B8" s="19">
        <f>SUM(B5:B7)</f>
        <v>24</v>
      </c>
    </row>
    <row r="10" spans="1:10" x14ac:dyDescent="0.25">
      <c r="A10" s="2" t="s">
        <v>106</v>
      </c>
      <c r="B10" s="3"/>
      <c r="C10" s="3"/>
      <c r="D10" s="3"/>
      <c r="E10" s="3"/>
      <c r="F10" s="3"/>
    </row>
    <row r="12" spans="1:10" x14ac:dyDescent="0.25">
      <c r="A12" s="12" t="s">
        <v>107</v>
      </c>
    </row>
    <row r="13" spans="1:10" ht="48" customHeight="1" x14ac:dyDescent="0.25">
      <c r="A13" s="20" t="s">
        <v>108</v>
      </c>
      <c r="B13" s="3"/>
      <c r="C13" s="3"/>
      <c r="D13" s="3"/>
      <c r="E13" s="3"/>
      <c r="F13" s="3"/>
      <c r="G13" s="3"/>
      <c r="H13" s="3"/>
      <c r="I13" s="3"/>
      <c r="J13" s="3"/>
    </row>
  </sheetData>
  <mergeCells count="3">
    <mergeCell ref="A2:D2"/>
    <mergeCell ref="A10:F10"/>
    <mergeCell ref="A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Comparison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Mohammad</dc:creator>
  <cp:lastModifiedBy>Ravi Mohammad</cp:lastModifiedBy>
  <dcterms:created xsi:type="dcterms:W3CDTF">2026-08-17T15:57:13Z</dcterms:created>
  <dcterms:modified xsi:type="dcterms:W3CDTF">2026-08-17T15:57:15Z</dcterms:modified>
</cp:coreProperties>
</file>